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ารคืนเศษเหล็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Prompt"/>
      <b val="1"/>
      <color rgb="00FFFFFF"/>
      <sz val="16"/>
    </font>
    <font>
      <name val="Prompt"/>
      <color rgb="00FFFFFF"/>
      <sz val="11"/>
    </font>
    <font>
      <name val="Prompt"/>
      <b val="1"/>
      <sz val="11"/>
    </font>
    <font>
      <name val="Sarabun"/>
      <sz val="10"/>
    </font>
    <font>
      <name val="Prompt"/>
      <b val="1"/>
      <color rgb="00FFFFFF"/>
      <sz val="11"/>
    </font>
    <font>
      <name val="Prompt"/>
      <b val="1"/>
      <color rgb="00D84315"/>
      <sz val="12"/>
    </font>
  </fonts>
  <fills count="6">
    <fill>
      <patternFill/>
    </fill>
    <fill>
      <patternFill patternType="gray125"/>
    </fill>
    <fill>
      <patternFill patternType="solid">
        <fgColor rgb="005E136E"/>
        <bgColor rgb="005E136E"/>
      </patternFill>
    </fill>
    <fill>
      <patternFill patternType="solid">
        <fgColor rgb="006C1D7E"/>
        <bgColor rgb="006C1D7E"/>
      </patternFill>
    </fill>
    <fill>
      <patternFill patternType="solid">
        <fgColor rgb="00F9FAFB"/>
        <bgColor rgb="00F9FAFB"/>
      </patternFill>
    </fill>
    <fill>
      <patternFill patternType="solid">
        <fgColor rgb="00FFF3E0"/>
        <bgColor rgb="00FFF3E0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double">
        <color rgb="005E136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6" fillId="5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30" customWidth="1" min="4" max="4"/>
    <col width="8" customWidth="1" min="5" max="5"/>
    <col width="12" customWidth="1" min="6" max="6"/>
    <col width="12" customWidth="1" min="7" max="7"/>
    <col width="18" customWidth="1" min="8" max="8"/>
  </cols>
  <sheetData>
    <row r="1" ht="32" customHeight="1">
      <c r="A1" s="1" t="inlineStr">
        <is>
          <t>การไฟฟ้าส่วนภูมิภาค (PROVINCIAL ELECTRICITY AUTHORITY)</t>
        </is>
      </c>
    </row>
    <row r="2" ht="24" customHeight="1">
      <c r="A2" s="2" t="inlineStr">
        <is>
          <t>รายงานการคำนวณการคืนพัสดุประเภทเศษเหล็ก (งานก่อสร้างและรื้อถอนระบบไฟฟ้า)</t>
        </is>
      </c>
    </row>
    <row r="4" ht="20" customHeight="1">
      <c r="A4" s="3" t="inlineStr">
        <is>
          <t>หมายเลขงาน:</t>
        </is>
      </c>
      <c r="B4" s="4" t="inlineStr">
        <is>
          <t>I-62-I-TAMS0.TM.0001.B</t>
        </is>
      </c>
      <c r="E4" s="3" t="inlineStr">
        <is>
          <t>วันที่รายงาน:</t>
        </is>
      </c>
      <c r="F4" s="4" t="inlineStr">
        <is>
          <t>27.08.2021</t>
        </is>
      </c>
    </row>
    <row r="5" ht="20" customHeight="1">
      <c r="A5" s="3" t="inlineStr">
        <is>
          <t>ชื่องาน:</t>
        </is>
      </c>
      <c r="B5" s="4" t="inlineStr">
        <is>
          <t>งานด้านสถานีไฟฟ้า ทมง. ช</t>
        </is>
      </c>
      <c r="E5" s="3" t="inlineStr">
        <is>
          <t>ศูนย์ต้นทุน:</t>
        </is>
      </c>
      <c r="F5" s="4" t="inlineStr">
        <is>
          <t>I301013011</t>
        </is>
      </c>
    </row>
    <row r="6" ht="20" customHeight="1">
      <c r="A6" s="3" t="inlineStr">
        <is>
          <t>ผู้ควบคุมงาน:</t>
        </is>
      </c>
      <c r="B6" s="4" t="inlineStr">
        <is>
          <t>นายภูวดล สุขสงวน</t>
        </is>
      </c>
      <c r="E6" s="3" t="inlineStr">
        <is>
          <t>รหัสพนักงาน:</t>
        </is>
      </c>
      <c r="F6" s="4" t="inlineStr">
        <is>
          <t>00500744</t>
        </is>
      </c>
    </row>
    <row r="8" ht="26" customHeight="1">
      <c r="A8" s="5" t="inlineStr">
        <is>
          <t>ลำดับ</t>
        </is>
      </c>
      <c r="B8" s="5" t="inlineStr">
        <is>
          <t>รหัสพัสดุ SAP</t>
        </is>
      </c>
      <c r="C8" s="5" t="inlineStr">
        <is>
          <t>รายการพัสดุ (SAP / รายละเอียด)</t>
        </is>
      </c>
      <c r="D8" s="5" t="inlineStr">
        <is>
          <t>รายการอ้างอิงฐานข้อมูล</t>
        </is>
      </c>
      <c r="E8" s="5" t="inlineStr">
        <is>
          <t>หน่วย</t>
        </is>
      </c>
      <c r="F8" s="5" t="inlineStr">
        <is>
          <t>จำนวน</t>
        </is>
      </c>
      <c r="G8" s="5" t="inlineStr">
        <is>
          <t>กก./หน่วย</t>
        </is>
      </c>
      <c r="H8" s="5" t="inlineStr">
        <is>
          <t>น้ำหนักรวม (กก.)</t>
        </is>
      </c>
    </row>
    <row r="9" ht="22" customHeight="1">
      <c r="A9" s="6" t="n">
        <v>1</v>
      </c>
      <c r="B9" s="6" t="inlineStr">
        <is>
          <t>1-01-000-0401</t>
        </is>
      </c>
      <c r="C9" s="7" t="inlineStr">
        <is>
          <t>ST. CHANNEL, 200X80X7.5 MM. 6 EA</t>
        </is>
      </c>
      <c r="D9" s="7" t="inlineStr">
        <is>
          <t>เหล็กรูปรางน้ำ</t>
        </is>
      </c>
      <c r="E9" s="6" t="inlineStr">
        <is>
          <t>EA</t>
        </is>
      </c>
      <c r="F9" s="8" t="n">
        <v>2</v>
      </c>
      <c r="G9" s="8" t="n">
        <v>20</v>
      </c>
      <c r="H9" s="8">
        <f>F9*G9</f>
        <v/>
      </c>
    </row>
    <row r="10" ht="22" customHeight="1">
      <c r="A10" s="9" t="n">
        <v>2</v>
      </c>
      <c r="B10" s="9" t="inlineStr">
        <is>
          <t>1-01-022-0007</t>
        </is>
      </c>
      <c r="C10" s="10" t="inlineStr">
        <is>
          <t>GROUND ROD,CU COV. ST.,DIA. 16 EA</t>
        </is>
      </c>
      <c r="D10" s="10" t="inlineStr">
        <is>
          <t>กราวด์ร็อค ขนาด 60x60x5 มม.</t>
        </is>
      </c>
      <c r="E10" s="9" t="inlineStr">
        <is>
          <t>EA</t>
        </is>
      </c>
      <c r="F10" s="11" t="n">
        <v>20</v>
      </c>
      <c r="G10" s="11" t="n">
        <v>8</v>
      </c>
      <c r="H10" s="11">
        <f>F10*G10</f>
        <v/>
      </c>
    </row>
    <row r="11" ht="22" customHeight="1">
      <c r="A11" s="6" t="n">
        <v>3</v>
      </c>
      <c r="B11" s="6" t="inlineStr">
        <is>
          <t>1-03-002-0001</t>
        </is>
      </c>
      <c r="C11" s="7" t="inlineStr">
        <is>
          <t>INSULATOR,SUSPENSION,CLASS 52- EA</t>
        </is>
      </c>
      <c r="D11" s="7" t="inlineStr">
        <is>
          <t>ลูกถ้วยแขวนแบบ ก 52-3</t>
        </is>
      </c>
      <c r="E11" s="6" t="inlineStr">
        <is>
          <t>EA</t>
        </is>
      </c>
      <c r="F11" s="8" t="n">
        <v>81</v>
      </c>
      <c r="G11" s="8" t="n">
        <v>1</v>
      </c>
      <c r="H11" s="8">
        <f>F11*G11</f>
        <v/>
      </c>
    </row>
    <row r="12" ht="22" customHeight="1">
      <c r="A12" s="9" t="n">
        <v>4</v>
      </c>
      <c r="B12" s="9" t="inlineStr">
        <is>
          <t>1-03-011-0103</t>
        </is>
      </c>
      <c r="C12" s="10" t="inlineStr">
        <is>
          <t>CLAMP,STRAIN,KEEPER,AL 400 SQ. EA</t>
        </is>
      </c>
      <c r="D12" s="10" t="inlineStr">
        <is>
          <t>สเตรนแคล้มป์ 35-70 ต.มม.</t>
        </is>
      </c>
      <c r="E12" s="9" t="inlineStr">
        <is>
          <t>EA</t>
        </is>
      </c>
      <c r="F12" s="11" t="n">
        <v>3</v>
      </c>
      <c r="G12" s="11" t="n">
        <v>0.6</v>
      </c>
      <c r="H12" s="11">
        <f>F12*G12</f>
        <v/>
      </c>
    </row>
    <row r="13" ht="22" customHeight="1">
      <c r="A13" s="6" t="n">
        <v>5</v>
      </c>
      <c r="B13" s="6" t="inlineStr">
        <is>
          <t>1-04-011-0216</t>
        </is>
      </c>
      <c r="C13" s="7" t="inlineStr">
        <is>
          <t>CONT.&amp;PROTECT.BOARD,SWING RACK PAC</t>
        </is>
      </c>
      <c r="D13" s="7" t="inlineStr">
        <is>
          <t>แร็ค 2x200 มม.</t>
        </is>
      </c>
      <c r="E13" s="6" t="inlineStr">
        <is>
          <t>EA</t>
        </is>
      </c>
      <c r="F13" s="8" t="n">
        <v>1</v>
      </c>
      <c r="G13" s="8" t="n">
        <v>2</v>
      </c>
      <c r="H13" s="8">
        <f>F13*G13</f>
        <v/>
      </c>
    </row>
    <row r="14" ht="22" customHeight="1">
      <c r="A14" s="9" t="n">
        <v>6</v>
      </c>
      <c r="B14" s="9" t="inlineStr">
        <is>
          <t>1-00-011-0001</t>
        </is>
      </c>
      <c r="C14" s="10" t="inlineStr">
        <is>
          <t>CROSSARM 100X100X2,500 MM.</t>
        </is>
      </c>
      <c r="D14" s="10" t="inlineStr">
        <is>
          <t>เหล็กประกับไม้คอน ขนาด 30x6 มม.</t>
        </is>
      </c>
      <c r="E14" s="9" t="inlineStr">
        <is>
          <t>EA</t>
        </is>
      </c>
      <c r="F14" s="11" t="n">
        <v>17</v>
      </c>
      <c r="G14" s="11" t="n">
        <v>1</v>
      </c>
      <c r="H14" s="11">
        <f>F14*G14</f>
        <v/>
      </c>
    </row>
    <row r="15" ht="22" customHeight="1">
      <c r="A15" s="6" t="n">
        <v>7</v>
      </c>
      <c r="B15" s="6" t="inlineStr">
        <is>
          <t>1-00-011-0003</t>
        </is>
      </c>
      <c r="C15" s="7" t="inlineStr">
        <is>
          <t>CROSSARM (FOR D/E) 120X120X2,0</t>
        </is>
      </c>
      <c r="D15" s="7" t="inlineStr">
        <is>
          <t>เหล็กประกับไม้คอน ขนาด 30x6 มม.</t>
        </is>
      </c>
      <c r="E15" s="6" t="inlineStr">
        <is>
          <t>EA</t>
        </is>
      </c>
      <c r="F15" s="8" t="n">
        <v>8</v>
      </c>
      <c r="G15" s="8" t="n">
        <v>1</v>
      </c>
      <c r="H15" s="8">
        <f>F15*G15</f>
        <v/>
      </c>
    </row>
    <row r="16" ht="22" customHeight="1">
      <c r="A16" s="9" t="n">
        <v>8</v>
      </c>
      <c r="B16" s="9" t="inlineStr">
        <is>
          <t>1-02-044-0112</t>
        </is>
      </c>
      <c r="C16" s="10" t="inlineStr">
        <is>
          <t>BRACKET,SAC CORNER SUPPORT, 22</t>
        </is>
      </c>
      <c r="D16" s="10" t="inlineStr">
        <is>
          <t>เหล็กคอนเคเบิลอากาศทางโค้ง</t>
        </is>
      </c>
      <c r="E16" s="9" t="inlineStr">
        <is>
          <t>EA</t>
        </is>
      </c>
      <c r="F16" s="11" t="n">
        <v>1</v>
      </c>
      <c r="G16" s="11" t="n">
        <v>26.5</v>
      </c>
      <c r="H16" s="11">
        <f>F16*G16</f>
        <v/>
      </c>
    </row>
    <row r="17" ht="22" customHeight="1">
      <c r="A17" s="6" t="n">
        <v>9</v>
      </c>
      <c r="B17" s="6" t="inlineStr">
        <is>
          <t>1-04-000-0001</t>
        </is>
      </c>
      <c r="C17" s="7" t="inlineStr">
        <is>
          <t>S.A.,21 KV. 10 KA.</t>
        </is>
      </c>
      <c r="D17" s="7" t="inlineStr">
        <is>
          <t>ล่อฟ้า 20-21 เควี 5 กิโลแอมป์</t>
        </is>
      </c>
      <c r="E17" s="6" t="inlineStr">
        <is>
          <t>EA</t>
        </is>
      </c>
      <c r="F17" s="8" t="n">
        <v>15</v>
      </c>
      <c r="G17" s="8" t="n">
        <v>1</v>
      </c>
      <c r="H17" s="8">
        <f>F17*G17</f>
        <v/>
      </c>
    </row>
    <row r="18" ht="22" customHeight="1">
      <c r="A18" s="9" t="n">
        <v>10</v>
      </c>
      <c r="B18" s="9" t="inlineStr">
        <is>
          <t>1-04-001-0002</t>
        </is>
      </c>
      <c r="C18" s="10" t="inlineStr">
        <is>
          <t>DROPOUT,FUSE,22 KV.100 A.12 KA</t>
        </is>
      </c>
      <c r="D18" s="10" t="inlineStr">
        <is>
          <t>ดรอพเอาท์</t>
        </is>
      </c>
      <c r="E18" s="9" t="inlineStr">
        <is>
          <t>EA</t>
        </is>
      </c>
      <c r="F18" s="11" t="n">
        <v>3</v>
      </c>
      <c r="G18" s="11" t="n">
        <v>1</v>
      </c>
      <c r="H18" s="11">
        <f>F18*G18</f>
        <v/>
      </c>
    </row>
    <row r="19" ht="22" customHeight="1">
      <c r="A19" s="6" t="n">
        <v>11</v>
      </c>
      <c r="B19" s="6" t="inlineStr">
        <is>
          <t>1-04-005-0002</t>
        </is>
      </c>
      <c r="C19" s="7" t="inlineStr">
        <is>
          <t>D.SW.,1 POLE 22 KV 1,200 A 61</t>
        </is>
      </c>
      <c r="D19" s="7" t="inlineStr">
        <is>
          <t>ดิสคอนเนคติ้งสวิตซ์ 1 ขา</t>
        </is>
      </c>
      <c r="E19" s="6" t="inlineStr">
        <is>
          <t>EA</t>
        </is>
      </c>
      <c r="F19" s="8" t="n">
        <v>12</v>
      </c>
      <c r="G19" s="8" t="n">
        <v>35</v>
      </c>
      <c r="H19" s="8">
        <f>F19*G19</f>
        <v/>
      </c>
    </row>
    <row r="20" ht="28" customHeight="1">
      <c r="A20" s="12" t="inlineStr">
        <is>
          <t>น้ำหนักเศษเหล็กรวมทั้งสิ้น (กิโลกรัม / kg):</t>
        </is>
      </c>
      <c r="B20" s="13" t="n"/>
      <c r="C20" s="13" t="n"/>
      <c r="D20" s="13" t="n"/>
      <c r="E20" s="13" t="n"/>
      <c r="F20" s="13" t="n"/>
      <c r="G20" s="13" t="n"/>
      <c r="H20" s="14">
        <f>SUM(H9:H19)</f>
        <v/>
      </c>
    </row>
    <row r="21" ht="24" customHeight="1">
      <c r="A21" s="15" t="inlineStr">
        <is>
          <t>น้ำหนักเศษเหล็กรวม (ตัน / Metric Tons):</t>
        </is>
      </c>
      <c r="B21" s="16" t="n"/>
      <c r="C21" s="16" t="n"/>
      <c r="D21" s="16" t="n"/>
      <c r="E21" s="16" t="n"/>
      <c r="F21" s="16" t="n"/>
      <c r="G21" s="16" t="n"/>
      <c r="H21" s="17">
        <f>H20/1000</f>
        <v/>
      </c>
    </row>
    <row r="24">
      <c r="A24" s="18" t="inlineStr">
        <is>
          <t>ลงชื่อ........................................................</t>
        </is>
      </c>
      <c r="D24" s="18" t="inlineStr">
        <is>
          <t>ลงชื่อ........................................................</t>
        </is>
      </c>
      <c r="G24" s="18" t="inlineStr">
        <is>
          <t>ลงชื่อ........................................................</t>
        </is>
      </c>
    </row>
    <row r="25">
      <c r="A25" s="19" t="inlineStr">
        <is>
          <t>(ผู้ส่งคืน / ผู้ควบคุมงาน)</t>
        </is>
      </c>
      <c r="D25" s="19" t="inlineStr">
        <is>
          <t>(ผู้ตรวจสอบ / คณะกรรมการ)</t>
        </is>
      </c>
      <c r="G25" s="19" t="inlineStr">
        <is>
          <t>(ผู้อนุมัติ / หัวหน้าแผนก)</t>
        </is>
      </c>
    </row>
    <row r="26">
      <c r="A26" s="18" t="inlineStr">
        <is>
          <t>วันที่ ......./......./.......</t>
        </is>
      </c>
      <c r="D26" s="18" t="inlineStr">
        <is>
          <t>วันที่ ......./......./.......</t>
        </is>
      </c>
      <c r="G26" s="18" t="inlineStr">
        <is>
          <t>วันที่ ......./......./.......</t>
        </is>
      </c>
    </row>
  </sheetData>
  <mergeCells count="19">
    <mergeCell ref="A24:B24"/>
    <mergeCell ref="F5:H5"/>
    <mergeCell ref="A20:G20"/>
    <mergeCell ref="A1:H1"/>
    <mergeCell ref="A25:B25"/>
    <mergeCell ref="B6:D6"/>
    <mergeCell ref="A26:B26"/>
    <mergeCell ref="B5:D5"/>
    <mergeCell ref="G24:H24"/>
    <mergeCell ref="A2:H2"/>
    <mergeCell ref="B4:D4"/>
    <mergeCell ref="F4:H4"/>
    <mergeCell ref="G26:H26"/>
    <mergeCell ref="D25:E25"/>
    <mergeCell ref="F6:H6"/>
    <mergeCell ref="D24:E24"/>
    <mergeCell ref="A21:G21"/>
    <mergeCell ref="G25:H25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2026-09-03T09:42:44Z</dcterms:created>
  <dcterms:modified xmlns:dcterms="http://purl.org/dc/terms/" xmlns:xsi="http://www.w3.org/2001/XMLSchema-instance" xsi:type="dcterms:W3CDTF">2026-09-03T09:42:44Z</dcterms:modified>
</cp:coreProperties>
</file>